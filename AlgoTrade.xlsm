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GitHub\Trading Strategy\"/>
    </mc:Choice>
  </mc:AlternateContent>
  <xr:revisionPtr revIDLastSave="0" documentId="13_ncr:1_{A598AC10-AE38-4A26-9FFD-B885D3CF9D06}" xr6:coauthVersionLast="45" xr6:coauthVersionMax="45" xr10:uidLastSave="{00000000-0000-0000-0000-000000000000}"/>
  <bookViews>
    <workbookView xWindow="-108" yWindow="-108" windowWidth="23256" windowHeight="12576" xr2:uid="{20FA62EE-9BB8-4D38-903D-C4534D29E374}"/>
  </bookViews>
  <sheets>
    <sheet name="Stocks" sheetId="1" r:id="rId1"/>
    <sheet name="SignalLogs"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 i="1" l="1" a="1"/>
  <c r="L2" i="1" s="1"/>
  <c r="L3" i="1" a="1"/>
  <c r="L3" i="1" s="1"/>
  <c r="L4" i="1" a="1"/>
  <c r="L4" i="1" s="1"/>
  <c r="L5" i="1" a="1"/>
  <c r="L5" i="1" s="1"/>
  <c r="L6" i="1" a="1"/>
  <c r="L6" i="1" s="1"/>
  <c r="L7" i="1" a="1"/>
  <c r="L7" i="1" s="1"/>
  <c r="M2" i="1" l="1"/>
  <c r="M3" i="1"/>
  <c r="M4" i="1"/>
  <c r="M5" i="1"/>
  <c r="M6" i="1"/>
  <c r="M7" i="1"/>
  <c r="U7" i="1"/>
  <c r="U6" i="1"/>
  <c r="U5" i="1"/>
  <c r="U4" i="1"/>
  <c r="U3" i="1"/>
  <c r="U2" i="1"/>
  <c r="E3" i="1" a="1"/>
  <c r="E3" i="1" s="1"/>
  <c r="AD3" i="1" s="1"/>
  <c r="E4" i="1" a="1"/>
  <c r="E4" i="1" s="1"/>
  <c r="AF4" i="1" s="1"/>
  <c r="E5" i="1" a="1"/>
  <c r="E5" i="1" s="1"/>
  <c r="AD5" i="1" s="1"/>
  <c r="E6" i="1" a="1"/>
  <c r="E6" i="1" s="1"/>
  <c r="AF6" i="1" s="1"/>
  <c r="E7" i="1" a="1"/>
  <c r="E7" i="1" s="1"/>
  <c r="AD7" i="1" s="1"/>
  <c r="E2" i="1" a="1"/>
  <c r="E2" i="1" s="1"/>
  <c r="AF2" i="1" s="1"/>
  <c r="AG7" i="1"/>
  <c r="AG6" i="1"/>
  <c r="AG5" i="1"/>
  <c r="AG4" i="1"/>
  <c r="AG3" i="1"/>
  <c r="AG2" i="1"/>
  <c r="AE5" i="1" l="1"/>
  <c r="AE3" i="1"/>
  <c r="AF3" i="1"/>
  <c r="AF5" i="1"/>
  <c r="AF7" i="1"/>
  <c r="AD2" i="1"/>
  <c r="AD4" i="1"/>
  <c r="AD6" i="1"/>
  <c r="AE7" i="1"/>
  <c r="AE2" i="1"/>
  <c r="AE4" i="1"/>
  <c r="AE6"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6"/>
        </ext>
      </extLst>
    </bk>
    <bk>
      <extLst>
        <ext uri="{3e2802c4-a4d2-4d8b-9148-e3be6c30e623}">
          <xlrd:rvb i="12"/>
        </ext>
      </extLst>
    </bk>
    <bk>
      <extLst>
        <ext uri="{3e2802c4-a4d2-4d8b-9148-e3be6c30e623}">
          <xlrd:rvb i="15"/>
        </ext>
      </extLst>
    </bk>
    <bk>
      <extLst>
        <ext uri="{3e2802c4-a4d2-4d8b-9148-e3be6c30e623}">
          <xlrd:rvb i="22"/>
        </ext>
      </extLst>
    </bk>
    <bk>
      <extLst>
        <ext uri="{3e2802c4-a4d2-4d8b-9148-e3be6c30e623}">
          <xlrd:rvb i="28"/>
        </ext>
      </extLst>
    </bk>
    <bk>
      <extLst>
        <ext uri="{3e2802c4-a4d2-4d8b-9148-e3be6c30e623}">
          <xlrd:rvb i="31"/>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<sst xmlns="http://schemas.openxmlformats.org/spreadsheetml/2006/main" count="43" uniqueCount="43">
  <si>
    <t>Ticker</t>
  </si>
  <si>
    <t>P.Close</t>
  </si>
  <si>
    <t>High</t>
  </si>
  <si>
    <t>Low</t>
  </si>
  <si>
    <t>LTP</t>
  </si>
  <si>
    <t>Open</t>
  </si>
  <si>
    <t>Lentry</t>
  </si>
  <si>
    <t>Sentry</t>
  </si>
  <si>
    <t>Lexit</t>
  </si>
  <si>
    <t>Sexit</t>
  </si>
  <si>
    <t>TATASTEEL</t>
  </si>
  <si>
    <t>HDFCBANK</t>
  </si>
  <si>
    <t>TITAN</t>
  </si>
  <si>
    <t>MARUTI</t>
  </si>
  <si>
    <t>LT</t>
  </si>
  <si>
    <t>RELIANCE</t>
  </si>
  <si>
    <t>Stock</t>
  </si>
  <si>
    <t>A-SigType</t>
  </si>
  <si>
    <t>A-Price</t>
  </si>
  <si>
    <t>A-QTY</t>
  </si>
  <si>
    <t>A-TrigPrice</t>
  </si>
  <si>
    <t>A-SL</t>
  </si>
  <si>
    <t>A-TGT</t>
  </si>
  <si>
    <t>A-Instrument</t>
  </si>
  <si>
    <t>A-STAG</t>
  </si>
  <si>
    <t>A-Symbol</t>
  </si>
  <si>
    <t>A-Expiry</t>
  </si>
  <si>
    <t>A-Strike</t>
  </si>
  <si>
    <t>A-OptionType</t>
  </si>
  <si>
    <t>A-OrderType</t>
  </si>
  <si>
    <t>A-ProductType</t>
  </si>
  <si>
    <t>A-Port</t>
  </si>
  <si>
    <t>A-EntryQtyMultiplier</t>
  </si>
  <si>
    <t>A-ExitQtyMultiplier</t>
  </si>
  <si>
    <t>A-LX</t>
  </si>
  <si>
    <t>A-SE</t>
  </si>
  <si>
    <t>A-SX</t>
  </si>
  <si>
    <t>A-Signals</t>
  </si>
  <si>
    <t>ID</t>
  </si>
  <si>
    <t>Signal</t>
  </si>
  <si>
    <t>Sent to APIBridge</t>
  </si>
  <si>
    <t>DateTime</t>
  </si>
  <si>
    <t>Previous 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</si>
</sst>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0"/>
      <name val="Calibri"/>
      <family val="2"/>
      <scheme val="minor"/>
    </font>
    <font>
      <b/>
      <sz val="11"/>
      <color theme="1"/>
      <name val="Calibri"/>
      <family val="2"/>
      <scheme val="minor"/>
    </font>
  </fonts>
  <fills count="5">
    <fill>
      <patternFill patternType="none"/>
    </fill>
    <fill>
      <patternFill patternType="gray125"/>
    </fill>
    <fill>
      <patternFill patternType="solid">
        <fgColor theme="9"/>
        <bgColor theme="9"/>
      </patternFill>
    </fill>
    <fill>
      <patternFill patternType="solid">
        <fgColor rgb="FFEEE86B"/>
        <bgColor indexed="64"/>
      </patternFill>
    </fill>
    <fill>
      <patternFill patternType="solid">
        <fgColor rgb="FFFFF8DC"/>
        <bgColor indexed="64"/>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13">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2" borderId="0" xfId="0" applyFont="1" applyFill="1" applyBorder="1"/>
    <xf numFmtId="0" fontId="1" fillId="2" borderId="2" xfId="0" applyNumberFormat="1" applyFont="1" applyFill="1" applyBorder="1"/>
    <xf numFmtId="0" fontId="0" fillId="0" borderId="0" xfId="0" applyNumberFormat="1"/>
    <xf numFmtId="0" fontId="2" fillId="0" borderId="0" xfId="0" applyFont="1"/>
    <xf numFmtId="49" fontId="2" fillId="0" borderId="0" xfId="0" applyNumberFormat="1" applyFont="1"/>
    <xf numFmtId="49" fontId="0" fillId="0" borderId="0" xfId="0" applyNumberFormat="1"/>
    <xf numFmtId="0" fontId="0" fillId="3" borderId="0" xfId="0" applyFill="1"/>
    <xf numFmtId="0" fontId="0" fillId="4" borderId="0" xfId="0" applyFill="1"/>
    <xf numFmtId="49" fontId="0" fillId="4" borderId="0" xfId="0" applyNumberFormat="1" applyFill="1"/>
  </cellXfs>
  <cellStyles count="1">
    <cellStyle name="Normal" xfId="0" builtinId="0"/>
  </cellStyles>
  <dxfs count="23">
    <dxf>
      <numFmt numFmtId="0" formatCode="General"/>
    </dxf>
    <dxf>
      <numFmt numFmtId="0" formatCode="General"/>
    </dxf>
    <dxf>
      <numFmt numFmtId="0" formatCode="General"/>
      <fill>
        <patternFill patternType="solid">
          <fgColor indexed="64"/>
          <bgColor rgb="FFEEE86B"/>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numFmt numFmtId="30" formatCode="@"/>
      <fill>
        <patternFill patternType="solid">
          <fgColor indexed="64"/>
          <bgColor rgb="FFFFF8DC"/>
        </patternFill>
      </fill>
    </dxf>
    <dxf>
      <fill>
        <patternFill patternType="solid">
          <fgColor indexed="64"/>
          <bgColor rgb="FFEEE86B"/>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FFF8DC"/>
        </patternFill>
      </fill>
    </dxf>
    <dxf>
      <fill>
        <patternFill patternType="solid">
          <fgColor indexed="64"/>
          <bgColor rgb="FFEEE86B"/>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32">
  <rv s="0">
    <v>http://en.wikipedia.org/wiki/Public_domain</v>
    <v>Public domain</v>
  </rv>
  <rv s="0">
    <v>http://en.wikipedia.org/wiki/Tata_Steel</v>
    <v>Wikipedia</v>
  </rv>
  <rv s="1">
    <v>0</v>
    <v>1</v>
  </rv>
  <rv s="2">
    <v>https://www.bing.com/th?id=AMMS_fdd3bbda9e488dc9a5bbb6df0a1e639c&amp;qlt=95</v>
    <v>2</v>
    <v>https://www.bing.com/images/search?form=xlimg&amp;q=tata+steel</v>
    <v>Image of TATA STEEL LIMITED</v>
  </rv>
  <rv s="0">
    <v>https://www.bing.com/financeapi/forcetrigger?t=ahkaa2&amp;q=XNSE%3aTATASTEEL&amp;form=skydnc</v>
    <v>Learn more on Bing</v>
  </rv>
  <rv s="3">
    <v>en-US</v>
    <v>ahkaa2</v>
    <v>268435456</v>
    <v>268435457</v>
    <v>1</v>
    <v>Powered by Refinitiv</v>
    <v>0</v>
    <v>TATA STEEL LIMITED (XNSE:TATASTEEL)</v>
    <v>3</v>
    <v>4</v>
    <v>Finance</v>
    <v>5</v>
    <v>506</v>
    <v>250.85</v>
    <v>1.1775</v>
    <v>15.65</v>
    <v>3.7892999999999996E-2</v>
    <v>INR</v>
    <v>TATA Steel Limited is a diversified steel producer. The Company is engaged in the business of steel making, including raw material and finishing operations. The Company's segments are Steel and Others. Its operations predominantly relate to manufacture of steel. The Others business segment comprises tubes, bearings, refractories, pigments, port operations and town services. Its products include flat products, including hot rolled, cold rolled, metallic coated, direct rolled, tubes, pre-finished steels, packaging steels, electro plated steels, electrical steels and narrow strip; construction products, including structural steel, floors, walls, roofs, modular and building components; agricultural implements, and bearings. It offers auto assembly components, ball bearings, tapered roller bearings, magneto bearings, clutch release assemblies, fan support assemblies and cylindrical roller bearings. Its brands include Tata Structura, TISCON, Tata Shaktee, Tata Astrum and Tata Steelium.</v>
    <v>70212</v>
    <v>National Stock Exchange of India</v>
    <v>XNSE</v>
    <v>XNSE</v>
    <v>Central Admin. Office, JAMSHEDPUR, JHARKHAND, 831001 IN</v>
    <v>432.7</v>
    <v>3</v>
    <v>Metals &amp; Mining</v>
    <v>Stock</v>
    <v>44075.461354166669</v>
    <v>4</v>
    <v>411.95</v>
    <v>482569700000</v>
    <v>TATA STEEL LIMITED</v>
    <v>TATA STEEL LIMITED</v>
    <v>413.9</v>
    <v>0</v>
    <v>413</v>
    <v>428.65</v>
    <v>1204127000</v>
    <v>TATASTEEL</v>
    <v>TATA STEEL LIMITED (XNSE:TATASTEEL)</v>
    <v>14072848</v>
    <v>1907</v>
  </rv>
  <rv s="4">
    <v>5</v>
  </rv>
  <rv s="0">
    <v>http://en.wikipedia.org/wiki/HDFC_Bank</v>
    <v>Wikipedia</v>
  </rv>
  <rv s="1">
    <v>0</v>
    <v>7</v>
  </rv>
  <rv s="2">
    <v>https://www.bing.com/th?id=AMMS_c643fbc43e47b24065ddbb05b826221c&amp;qlt=95</v>
    <v>8</v>
    <v>https://www.bing.com/images/search?form=xlimg&amp;q=hdfc+bank</v>
    <v>Image of HDFC BANK LIMITED</v>
  </rv>
  <rv s="0">
    <v>https://www.bing.com/financeapi/forcetrigger?t=ahi3jc&amp;q=XNSE%3aHDFCBANK&amp;form=skydnc</v>
    <v>Learn more on Bing</v>
  </rv>
  <rv s="3">
    <v>en-US</v>
    <v>ahi3jc</v>
    <v>268435456</v>
    <v>268435457</v>
    <v>1</v>
    <v>Powered by Refinitiv</v>
    <v>0</v>
    <v>HDFC BANK LIMITED (XNSE:HDFCBANK)</v>
    <v>3</v>
    <v>4</v>
    <v>Finance</v>
    <v>5</v>
    <v>1305.5</v>
    <v>738.75</v>
    <v>1.0317000000000001</v>
    <v>11.45</v>
    <v>1.0260999999999999E-2</v>
    <v>INR</v>
    <v>HDFC Bank Limited (the Bank) is a holding company. The Bank offers a range of banking services covering commercial and investment banking on the wholesale side and transactional/branch banking on the retail side. It also offers financial services. The Bank's segments include Treasury, Retail banking, Wholesale banking and Other banking business. The Treasury segment primarily consists of net interest earnings from the Bank's investment portfolio, money market borrowing and lending, gains or losses on investment operations and on account of trading in foreign exchange and derivative contracts. The Retail Banking segment serves retail customers through a branch network and other delivery channels, as well as through alternative delivery channels. The Bank provides its corporate and institutional clients a range of commercial and transactional banking products. The Other banking business segment includes income from para banking activities.</v>
    <v>115882</v>
    <v>National Stock Exchange of India</v>
    <v>XNSE</v>
    <v>XNSE</v>
    <v>iTHINK Techno Campus, Bldg B, Alpha,, Vikhroli Link Rd, Kanjur Marg East, MUMBAI, MAHARASHTRA, 400042 IN</v>
    <v>1143.5999999999999</v>
    <v>9</v>
    <v>Banking Services</v>
    <v>Stock</v>
    <v>44075.461319444446</v>
    <v>10</v>
    <v>1108</v>
    <v>6133235000000</v>
    <v>HDFC BANK LIMITED</v>
    <v>HDFC BANK LIMITED</v>
    <v>1128</v>
    <v>21.43</v>
    <v>1115.8499999999999</v>
    <v>1127.3</v>
    <v>5503127000</v>
    <v>HDFCBANK</v>
    <v>HDFC BANK LIMITED (XNSE:HDFCBANK)</v>
    <v>14438949</v>
    <v>1994</v>
  </rv>
  <rv s="4">
    <v>11</v>
  </rv>
  <rv s="0">
    <v>https://www.bing.com/financeapi/forcetrigger?t=ahkdxm&amp;q=XNSE%3aTITAN&amp;form=skydnc</v>
    <v>Learn more on Bing</v>
  </rv>
  <rv s="5">
    <v>en-US</v>
    <v>ahkdxm</v>
    <v>268435456</v>
    <v>268435457</v>
    <v>1</v>
    <v>Powered by Refinitiv</v>
    <v>6</v>
    <v>TITAN COMPANY LIMITED (XNSE:TITAN)</v>
    <v>7</v>
    <v>8</v>
    <v>Finance</v>
    <v>5</v>
    <v>1389.95</v>
    <v>720.9</v>
    <v>0.91259999999999997</v>
    <v>19.55</v>
    <v>1.7765E-2</v>
    <v>INR</v>
    <v>Titan Company Limited is engaged in offering watches, jewelry and others. The Company's segments include Watches, Jewellery, Eyewear and Others. The Company offers plain and studded gold jewelry brands, such as Tanishq, GoldPlus, Zoya, Mia, which are retailed through Tanishq, GoldPlus, Zoya &amp; Mia stores. The Company offers watches and accessories, such as bags, sunglasses in brands, including Titan, Sonata, Fastrack and sub brands, such as Raga, Xylys and Edge, among others. The Company's watches and accessories are retailed through World of Titan, Helios and Fastrack stores. The Company offers frames, contact lenses, and Sunglasses in brands, such as Eye+. The Company's eyewear brands are retailed through Titan Eye Plus stores. It also offers precision engineering component and sub-assemblies (PECSA) and machine building and automation (MBA) solutions. The Company's subsidiaries include Titan TimeProducts Limited, Favre Leuba AG and Titan Engineering and Automation Limited.</v>
    <v>7550</v>
    <v>National Stock Exchange of India</v>
    <v>XNSE</v>
    <v>XNSE</v>
    <v>`INTEGRITY'#193, Veerasandra, Electronic City P.O, Off Hosur Main Road, BANGALORE, KARNATAKA, 560100 IN</v>
    <v>1129.6500000000001</v>
    <v>Textiles &amp; Apparel</v>
    <v>Stock</v>
    <v>44075.4375</v>
    <v>13</v>
    <v>1095.6500000000001</v>
    <v>1006838000000</v>
    <v>TITAN COMPANY LIMITED</v>
    <v>TITAN COMPANY LIMITED</v>
    <v>1105</v>
    <v>115.7</v>
    <v>1100.5</v>
    <v>1120.05</v>
    <v>887786100</v>
    <v>TITAN</v>
    <v>TITAN COMPANY LIMITED (XNSE:TITAN)</v>
    <v>2043957</v>
    <v>1984</v>
  </rv>
  <rv s="4">
    <v>14</v>
  </rv>
  <rv s="0">
    <v>http://creativecommons.org/licenses/by/2.0</v>
    <v>CC BY 2.0</v>
  </rv>
  <rv s="0">
    <v>http://tr.wikipedia.org/wiki/Maruti</v>
    <v>Wikipedia</v>
  </rv>
  <rv s="1">
    <v>16</v>
    <v>17</v>
  </rv>
  <rv s="2">
    <v>https://www.bing.com/th?id=AMMS_8ca27c595f8bb8d72b3ac0c165b2717a&amp;qlt=95</v>
    <v>18</v>
    <v>https://www.bing.com/images/search?form=xlimg&amp;q=maruti+suzuki</v>
    <v>Image of MARUTI SUZUKI INDIA LIMITED</v>
  </rv>
  <rv s="0">
    <v>https://www.bing.com/financeapi/forcetrigger?t=ahiwa2&amp;q=XNSE%3aMARUTI&amp;form=skydnc</v>
    <v>Learn more on Bing</v>
  </rv>
  <rv s="3">
    <v>en-US</v>
    <v>ahiwa2</v>
    <v>268435456</v>
    <v>268435457</v>
    <v>1</v>
    <v>Powered by Refinitiv</v>
    <v>0</v>
    <v>MARUTI SUZUKI INDIA LIMITED (XNSE:MARUTI)</v>
    <v>3</v>
    <v>4</v>
    <v>Finance</v>
    <v>5</v>
    <v>7758.7</v>
    <v>4001.1</v>
    <v>1.3956</v>
    <v>65.7</v>
    <v>9.6050000000000007E-3</v>
    <v>INR</v>
    <v>Maruti Suzuki India Limited is a holding company. The Company is engaged in the manufacture, purchase and sale of motor vehicles, components and spare parts (automobiles). The other activities of the Company comprise facilitation of pre-owned car sales, fleet management and car financing. Its geographical segments include the domestic segment, which includes sales to customers located in India, and the overseas segment, which includes sales to customers located outside India. The Company's product portfolio includes Alto 800, Alto K10, Wagon R, Celerio, Ritz, Swift, DZire, Ertiga, Omni, Eeco, Gypsy and Ciaz. Its service offerings include Maruti Finance, True Value, Maruti Genuine Parts, Maruti Genuine Accessories, Maruti Suzuki Auto Card and Maruti Driving School. It has approximately five plants, located in Palam Gurgaon Road, Gurgaon, Haryana, and at Manesar Industrial Town, Gurgaon, Haryana, with an installed capacity of over 1.5 million vehicles per year.</v>
    <v>15945</v>
    <v>National Stock Exchange of India</v>
    <v>XNSE</v>
    <v>XNSE</v>
    <v>Plot No 1, Nelson Mandela Road,, Vasant Kunj, NEW DELHI, DELHI, 110070 IN</v>
    <v>7018.7</v>
    <v>19</v>
    <v>Automobiles &amp; Auto Parts</v>
    <v>Stock</v>
    <v>44075.4375</v>
    <v>20</v>
    <v>6802</v>
    <v>2146007000000</v>
    <v>MARUTI SUZUKI INDIA LIMITED</v>
    <v>MARUTI SUZUKI INDIA LIMITED</v>
    <v>6860.45</v>
    <v>51.26</v>
    <v>6839.95</v>
    <v>6905.65</v>
    <v>302080000</v>
    <v>MARUTI</v>
    <v>MARUTI SUZUKI INDIA LIMITED (XNSE:MARUTI)</v>
    <v>1117127</v>
    <v>1981</v>
  </rv>
  <rv s="4">
    <v>21</v>
  </rv>
  <rv s="0">
    <v>http://en.wikipedia.org/wiki/Larsen_&amp;_Toubro</v>
    <v>Wikipedia</v>
  </rv>
  <rv s="1">
    <v>0</v>
    <v>23</v>
  </rv>
  <rv s="2">
    <v>https://www.bing.com/th?id=AMMS_6d408fbeb3e7409c124688364f0b4b42&amp;qlt=95</v>
    <v>24</v>
    <v>https://www.bing.com/images/search?form=xlimg&amp;q=larsen+%26+toubro</v>
    <v>Image of LARSEN AND TOUBRO LIMITED</v>
  </rv>
  <rv s="0">
    <v>https://www.bing.com/financeapi/forcetrigger?t=ahirxm&amp;q=XNSE%3aLT&amp;form=skydnc</v>
    <v>Learn more on Bing</v>
  </rv>
  <rv s="3">
    <v>en-US</v>
    <v>ahirxm</v>
    <v>268435456</v>
    <v>268435457</v>
    <v>1</v>
    <v>Powered by Refinitiv</v>
    <v>0</v>
    <v>LARSEN AND TOUBRO LIMITED (XNSE:LT)</v>
    <v>3</v>
    <v>4</v>
    <v>Finance</v>
    <v>5</v>
    <v>1551</v>
    <v>661</v>
    <v>1.1408</v>
    <v>10.25</v>
    <v>1.0847000000000001E-2</v>
    <v>INR</v>
    <v>Larsen &amp; Toubro Limited is a technology, engineering, construction, manufacturing and financial services company. The Company's segments include Infrastructure, which is engaged in engineering and construction of building and factories; Power, which offers solutions for thermal power plants; Metallurgical &amp; Material Handling, which consists of solutions for ferrous and non-ferrous metal industries; Heavy Engineering, which manufactures and supplies custom designed, engineered critical equipment and systems; Electrical &amp; Automation, which manufactures and sells control and automation products; Hydrocarbon, which is engaged in engineering, procurement and construction solutions for the oil and gas industry; IT &amp; Technology Services, which includes information technology; Financial Services, which includes retail and corporate finance; Developmental projects, which develops, operates and maintains basic infrastructure projects, and Others, which include realty and shipbuilding.</v>
    <v>45268</v>
    <v>National Stock Exchange of India</v>
    <v>XNSE</v>
    <v>XNSE</v>
    <v>L&amp;T House, Ballard Estate, P. O. Box: 278,, MUMBAI, MAHARASHTRA, 400001 IN</v>
    <v>966</v>
    <v>25</v>
    <v>Construction &amp; Engineering</v>
    <v>Stock</v>
    <v>44075.4375</v>
    <v>26</v>
    <v>943.3</v>
    <v>1378552000000</v>
    <v>LARSEN AND TOUBRO LIMITED</v>
    <v>LARSEN AND TOUBRO LIMITED</v>
    <v>964.95</v>
    <v>16.940000000000001</v>
    <v>944.95</v>
    <v>955.2</v>
    <v>1404035000</v>
    <v>LT</v>
    <v>LARSEN AND TOUBRO LIMITED (XNSE:LT)</v>
    <v>5100024</v>
    <v>1946</v>
  </rv>
  <rv s="4">
    <v>27</v>
  </rv>
  <rv s="0">
    <v>https://www.bing.com/financeapi/forcetrigger?t=ahjo52&amp;q=XNSE%3aRELIANCE&amp;form=skydnc</v>
    <v>Learn more on Bing</v>
  </rv>
  <rv s="5">
    <v>en-US</v>
    <v>ahjo52</v>
    <v>268435456</v>
    <v>268435457</v>
    <v>1</v>
    <v>Powered by Refinitiv</v>
    <v>6</v>
    <v>RELIANCE INDUSTRIES LIMITED (XNSE:RELIANCE)</v>
    <v>7</v>
    <v>8</v>
    <v>Finance</v>
    <v>5</v>
    <v>2198.8000000000002</v>
    <v>867.43</v>
    <v>1.2450000000000001</v>
    <v>6.55</v>
    <v>3.1480000000000002E-3</v>
    <v>INR</v>
    <v>Reliance Industries Limited is an India-based company, which operates in the Refining, Petrochemicals, Oil and Gas, Organised Retail, Digital Services and Financial Services segments. The Refining segment includes production and marketing operations of the petroleum products. The Petrochemicals segment includes production and marketing operations of petrochemical products. The Oil and Gas segment includes exploration, development and production of crude oil and natural gas. The Organised Retail segment includes organized retail business in India. The Digital Services segment includes provision of a range of digital services in India and investment in telecom infrastructure business. The Financial Services segment comprises of management and deployment of identified resources of the Company to various activities including non-banking financial services and insurance broking. The Others segment includes textile, special economic zone (SEZ) development and media.</v>
    <v>26488</v>
    <v>National Stock Exchange of India</v>
    <v>XNSE</v>
    <v>XNSE</v>
    <v>Maker Chambers IV, 3rd Floor, 222, Nariman Point, MUMBAI, MAHARASHTRA, 400021 IN</v>
    <v>2122.4</v>
    <v>Oil &amp; Gas</v>
    <v>Stock</v>
    <v>44075.441759259258</v>
    <v>29</v>
    <v>2062.4</v>
    <v>13934980000000</v>
    <v>RELIANCE INDUSTRIES LIMITED</v>
    <v>RELIANCE INDUSTRIES LIMITED</v>
    <v>2100</v>
    <v>30.85</v>
    <v>2080.6999999999998</v>
    <v>2087.25</v>
    <v>6762038000</v>
    <v>RELIANCE</v>
    <v>RELIANCE INDUSTRIES LIMITED (XNSE:RELIANCE)</v>
    <v>17821488</v>
    <v>1973</v>
  </rv>
  <rv s="4">
    <v>30</v>
  </rv>
</rvData>
</file>

<file path=xl/richData/rdrichvaluestructure.xml><?xml version="1.0" encoding="utf-8"?>
<rvStructures xmlns="http://schemas.microsoft.com/office/spreadsheetml/2017/richdata" count="6">
  <s t="_hyperlink">
    <k n="Address" t="s"/>
    <k n="Text" t="s"/>
  </s>
  <s t="_sourceattribution">
    <k n="License" t="r"/>
    <k n="Source" t="r"/>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
    <k n="%cvi" t="r"/>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rvStructures>
</file>

<file path=xl/richData/rdsupportingpropertybag.xml><?xml version="1.0" encoding="utf-8"?>
<supportingPropertyBags xmlns="http://schemas.microsoft.com/office/spreadsheetml/2017/richdata2">
  <spbArrays count="2">
    <a count="43">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42">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spbArrays>
  <spbData count="9">
    <spb s="0">
      <v>0</v>
    </spb>
    <spb s="1">
      <v>0</v>
      <v>0</v>
    </spb>
    <spb s="2">
      <v>0</v>
      <v>0</v>
      <v>0</v>
    </spb>
    <spb s="3">
      <v>1</v>
      <v>2</v>
      <v>2</v>
      <v>2</v>
    </spb>
    <spb s="4">
      <v>1</v>
      <v>2</v>
      <v>2</v>
      <v>1</v>
      <v>3</v>
      <v>1</v>
      <v>4</v>
      <v>1</v>
      <v>1</v>
      <v>5</v>
      <v>5</v>
      <v>6</v>
      <v>7</v>
      <v>1</v>
      <v>1</v>
      <v>1</v>
      <v>8</v>
      <v>9</v>
      <v>10</v>
      <v>11</v>
      <v>10</v>
      <v>5</v>
    </spb>
    <spb s="5">
      <v>Delayed 5 minutes</v>
      <v>from previous close</v>
      <v>from previous close</v>
      <v>GMT</v>
    </spb>
    <spb s="0">
      <v>1</v>
    </spb>
    <spb s="6">
      <v>2</v>
      <v>2</v>
      <v>2</v>
    </spb>
    <spb s="7">
      <v>1</v>
      <v>2</v>
      <v>2</v>
      <v>1</v>
      <v>3</v>
      <v>1</v>
      <v>1</v>
      <v>1</v>
      <v>5</v>
      <v>5</v>
      <v>6</v>
      <v>7</v>
      <v>1</v>
      <v>1</v>
      <v>1</v>
      <v>8</v>
      <v>9</v>
      <v>10</v>
      <v>11</v>
      <v>10</v>
      <v>5</v>
    </spb>
  </spbData>
</supportingPropertyBags>
</file>

<file path=xl/richData/rdsupportingpropertybagstructure.xml><?xml version="1.0" encoding="utf-8"?>
<spbStructures xmlns="http://schemas.microsoft.com/office/spreadsheetml/2017/richdata2" count="8">
  <s>
    <k n="^Order" t="spba"/>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Price" t="s"/>
    <k n="Change" t="s"/>
    <k n="Change (%)" t="s"/>
    <k n="Last trade time"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 [$₹-4009]\ * #,##0.00_ ;_ [$₹-4009]\ * \-#,##0.00_ ;_ [$₹-4009]\ * &quot;-&quot;??_ ;_ @_ "/>
    </x:dxf>
    <x:dxf>
      <x:numFmt numFmtId="4" formatCode="#,##0.00"/>
    </x:dxf>
    <x:dxf>
      <x:numFmt numFmtId="3" formatCode="#,##0"/>
    </x:dxf>
    <x:dxf>
      <x:numFmt numFmtId="14" formatCode="0.00%"/>
    </x:dxf>
    <x:dxf>
      <x:numFmt numFmtId="164" formatCode="_ [$₹-4009]\ * #,##0_ ;_ [$₹-4009]\ * \-#,##0_ ;_ [$₹-4009]\ * &quot;-&quot;_ ;_ @_ "/>
    </x:dxf>
    <x:dxf>
      <x:numFmt numFmtId="27" formatCode="dd/mm/yyyy\ h:mm"/>
    </x:dxf>
    <x:dxf>
      <x:numFmt numFmtId="2" formatCode="0.00"/>
    </x:dxf>
    <x:dxf>
      <x:numFmt numFmtId="1" formatCode="0"/>
    </x:dxf>
  </dxfs>
  <richProperties>
    <rPr n="IsTitleField" t="b"/>
    <rPr n="IsHeroField" t="b"/>
    <rPr n="ShouldShowInCell" t="b"/>
  </richProperties>
  <richStyles>
    <rSty dxfid="0"/>
    <rSty dxfid="1"/>
    <rSty>
      <rpv i="0">1</rpv>
    </rSty>
    <rSty>
      <rpv i="1">1</rpv>
    </rSty>
    <rSty dxfid="2"/>
    <rSty dxfid="3"/>
    <rSty dxfid="4"/>
    <rSty>
      <rpv i="2">1</rpv>
    </rSty>
    <rSty dxfid="5"/>
    <rSty dxfid="6"/>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5E4374-E342-4CCC-9116-260DC3B1B3EC}" name="MyTableStyle" displayName="MyTableStyle" ref="A1:L7" totalsRowShown="0">
  <autoFilter ref="A1:L7" xr:uid="{0568BFAC-B7E8-4710-B659-548F591627DE}"/>
  <tableColumns count="12">
    <tableColumn id="1" xr3:uid="{F4D445A9-2D43-4714-A343-096D241B1797}" name="Ticker"/>
    <tableColumn id="2" xr3:uid="{B69AB844-A67D-42B8-B1ED-879C00F0CDB0}" name="P.Close"/>
    <tableColumn id="3" xr3:uid="{E0C8A3D5-9746-4A96-8072-DC89EDCDACDB}" name="High"/>
    <tableColumn id="4" xr3:uid="{7D2DC2BD-81C4-49BA-9478-CA5D908F15D3}" name="Low"/>
    <tableColumn id="5" xr3:uid="{817741DA-97D2-449A-8DCF-266DE0A1AA91}" name="LTP" dataDxfId="1">
      <calculatedColumnFormula array="1">_FV(K2,"Price")</calculatedColumnFormula>
    </tableColumn>
    <tableColumn id="6" xr3:uid="{35A44638-90DE-4F35-AE51-9AF51118F99A}" name="Open"/>
    <tableColumn id="7" xr3:uid="{EC123547-D9D4-4026-8763-0D53163364B5}" name="Lentry"/>
    <tableColumn id="8" xr3:uid="{B61D2393-2B34-4707-88F5-10A127D77E97}" name="Sentry"/>
    <tableColumn id="9" xr3:uid="{2B5C4460-37BB-4EA0-88CB-08E1419DD9A7}" name="Lexit"/>
    <tableColumn id="10" xr3:uid="{2ED6FACC-3671-4D2F-BEC4-6C2F05A8FBA0}" name="Sexit"/>
    <tableColumn id="11" xr3:uid="{76FE5348-8627-48F0-8896-FF76752007C8}" name="Stock"/>
    <tableColumn id="13" xr3:uid="{98609E81-2834-4816-BBC8-E3489BB0221E}" name="Previous close" dataDxfId="0">
      <calculatedColumnFormula array="1">_FV(MyTableStyle[[#This Row],[Stock]],"Previous close",TRUE)</calculatedColumnFormula>
    </tableColumn>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945AA1-780D-4F85-B69E-D78CA97D333B}" name="MyTableStyle1" displayName="MyTableStyle1" ref="M1:AG7" totalsRowShown="0" dataDxfId="3">
  <autoFilter ref="M1:AG7" xr:uid="{01EF52BE-367F-4C9B-A39B-4ECC05ED31B2}"/>
  <tableColumns count="21">
    <tableColumn id="1" xr3:uid="{E73681B0-1ABB-4313-B256-4079A8DA3B43}" name="A-SigType" dataDxfId="2">
      <calculatedColumnFormula>IF(I2, "LX", IF(J2,"SX",IF(G2, "LE", IF(H2,"SE","NA"))))</calculatedColumnFormula>
    </tableColumn>
    <tableColumn id="2" xr3:uid="{5F965E72-11EC-4683-AB39-D1BF8A9B269E}" name="A-Price" dataDxfId="22"/>
    <tableColumn id="3" xr3:uid="{6CA80517-9D85-4EE3-996B-19E47FBF12C1}" name="A-QTY" dataDxfId="21"/>
    <tableColumn id="4" xr3:uid="{5E34C080-B9AD-40A9-B065-8B86756C6923}" name="A-TrigPrice" dataDxfId="20"/>
    <tableColumn id="5" xr3:uid="{779F0D10-3D8B-4704-A173-EAEFE5F5601F}" name="A-SL" dataDxfId="19"/>
    <tableColumn id="6" xr3:uid="{1D41BF42-8509-4403-9D26-626AD6C5DA0E}" name="A-TGT" dataDxfId="18"/>
    <tableColumn id="7" xr3:uid="{2A0C412C-D3AC-41B8-87B8-702C5D1ACCE6}" name="A-Instrument" dataDxfId="17"/>
    <tableColumn id="8" xr3:uid="{76D9A183-98BA-4E87-AF75-DF4B234F43F6}" name="A-STAG" dataDxfId="16"/>
    <tableColumn id="9" xr3:uid="{B199152A-668D-43FB-A91A-A137F01FFCCB}" name="A-Symbol" dataDxfId="15">
      <calculatedColumnFormula>A2</calculatedColumnFormula>
    </tableColumn>
    <tableColumn id="10" xr3:uid="{07D98CC6-08FB-416C-8837-A7BADA7F31B7}" name="A-Expiry" dataDxfId="14"/>
    <tableColumn id="11" xr3:uid="{AA037B93-6210-40D1-9D8A-CC1E2BDA71DD}" name="A-Strike" dataDxfId="13"/>
    <tableColumn id="12" xr3:uid="{32BC22F1-2C43-465B-901E-1BBFEE0C5205}" name="A-OptionType" dataDxfId="12"/>
    <tableColumn id="13" xr3:uid="{C9FBD8E1-ABEA-4767-845F-91801C6E519D}" name="A-OrderType" dataDxfId="11"/>
    <tableColumn id="14" xr3:uid="{1539E426-3E5A-4B77-A981-8195AE8FCB74}" name="A-ProductType" dataDxfId="10"/>
    <tableColumn id="15" xr3:uid="{0B9DA5B8-1B59-4C43-B3D8-513A8E5714C5}" name="A-Port" dataDxfId="9"/>
    <tableColumn id="16" xr3:uid="{FA83820F-50D3-4C2E-9569-6190699791C0}" name="A-EntryQtyMultiplier" dataDxfId="8"/>
    <tableColumn id="17" xr3:uid="{767F11B0-EE3C-418A-B99D-B6A07FEF7C87}" name="A-ExitQtyMultiplier" dataDxfId="7"/>
    <tableColumn id="18" xr3:uid="{D7185016-C873-49F8-8AB5-B626589F3EF7}" name="A-LX" dataDxfId="6">
      <calculatedColumnFormula>IF(D2 = E2, "LX","NA")</calculatedColumnFormula>
    </tableColumn>
    <tableColumn id="19" xr3:uid="{DD6A6775-A6C9-47B4-9E94-6C77945EE3C1}" name="A-SE" dataDxfId="5">
      <calculatedColumnFormula>IF(D2 = E2, "SE","NA")</calculatedColumnFormula>
    </tableColumn>
    <tableColumn id="20" xr3:uid="{788D5632-F5FD-499D-8032-614A5F3E45F7}" name="A-SX" dataDxfId="4">
      <calculatedColumnFormula>IF(D2 = E2, "SX","NA")</calculatedColumnFormula>
    </tableColumn>
    <tableColumn id="21" xr3:uid="{49356E36-2DA9-47AB-A538-6AA09C26F15F}" name="A-Signals">
      <calculatedColumnFormula>_xll.ABSignal(IF(ISBLANK(M2),IF(AD2="LX","LX",IF(AE2="SE","SE",IF(AF2="SX","SX","NA"))),M2),N2,O2,P2,Q2,R2,S2,T2,U2,V2,W2,X2,Y2,Z2,AA2,AB2,AC2,ROW())</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15EB5-ADBA-46BD-8961-8EFC767CC9FF}">
  <sheetPr codeName="Sheet1"/>
  <dimension ref="A1:AG7"/>
  <sheetViews>
    <sheetView tabSelected="1" workbookViewId="0">
      <selection activeCell="A3" sqref="A3"/>
    </sheetView>
  </sheetViews>
  <sheetFormatPr defaultRowHeight="14.4" x14ac:dyDescent="0.3"/>
  <cols>
    <col min="1" max="1" width="11.109375" customWidth="1"/>
    <col min="2" max="2" width="13" customWidth="1"/>
    <col min="3" max="3" width="13.109375" customWidth="1"/>
    <col min="4" max="4" width="11.5546875" customWidth="1"/>
    <col min="5" max="5" width="10.21875" style="6" customWidth="1"/>
    <col min="6" max="6" width="10" customWidth="1"/>
    <col min="7" max="7" width="10.6640625" customWidth="1"/>
    <col min="8" max="8" width="10.44140625" customWidth="1"/>
    <col min="9" max="9" width="9.6640625" customWidth="1"/>
    <col min="10" max="10" width="26.77734375" customWidth="1"/>
    <col min="11" max="11" width="7.88671875" hidden="1" customWidth="1"/>
    <col min="12" max="12" width="7.77734375" style="6" customWidth="1"/>
    <col min="13" max="13" width="11.33203125" customWidth="1"/>
    <col min="14" max="15" width="0" hidden="1" customWidth="1"/>
    <col min="16" max="16" width="12" hidden="1" customWidth="1"/>
    <col min="17" max="18" width="0" hidden="1" customWidth="1"/>
    <col min="19" max="19" width="14.109375" hidden="1" customWidth="1"/>
    <col min="20" max="20" width="9.21875" hidden="1" customWidth="1"/>
    <col min="21" max="21" width="11.109375" customWidth="1"/>
    <col min="22" max="22" width="9.88671875" style="9" hidden="1" customWidth="1"/>
    <col min="23" max="23" width="9.5546875" hidden="1" customWidth="1"/>
    <col min="24" max="24" width="14.6640625" hidden="1" customWidth="1"/>
    <col min="25" max="25" width="13.6640625" hidden="1" customWidth="1"/>
    <col min="26" max="26" width="15.5546875" hidden="1" customWidth="1"/>
    <col min="27" max="27" width="0" hidden="1" customWidth="1"/>
    <col min="28" max="28" width="20.33203125" hidden="1" customWidth="1"/>
    <col min="29" max="29" width="18.88671875" hidden="1" customWidth="1"/>
    <col min="30" max="32" width="0" hidden="1" customWidth="1"/>
    <col min="33" max="33" width="10.5546875" hidden="1" customWidth="1"/>
  </cols>
  <sheetData>
    <row r="1" spans="1:33" x14ac:dyDescent="0.3">
      <c r="A1" s="1" t="s">
        <v>0</v>
      </c>
      <c r="B1" s="2" t="s">
        <v>1</v>
      </c>
      <c r="C1" s="2" t="s">
        <v>2</v>
      </c>
      <c r="D1" s="2" t="s">
        <v>3</v>
      </c>
      <c r="E1" s="5" t="s">
        <v>4</v>
      </c>
      <c r="F1" s="2" t="s">
        <v>5</v>
      </c>
      <c r="G1" s="2" t="s">
        <v>6</v>
      </c>
      <c r="H1" s="2" t="s">
        <v>7</v>
      </c>
      <c r="I1" s="2" t="s">
        <v>8</v>
      </c>
      <c r="J1" s="3" t="s">
        <v>9</v>
      </c>
      <c r="K1" s="4" t="s">
        <v>16</v>
      </c>
      <c r="L1" s="6" t="s">
        <v>42</v>
      </c>
      <c r="M1" t="s">
        <v>17</v>
      </c>
      <c r="N1" t="s">
        <v>18</v>
      </c>
      <c r="O1" t="s">
        <v>19</v>
      </c>
      <c r="P1" t="s">
        <v>20</v>
      </c>
      <c r="Q1" t="s">
        <v>21</v>
      </c>
      <c r="R1" t="s">
        <v>22</v>
      </c>
      <c r="S1" t="s">
        <v>23</v>
      </c>
      <c r="T1" t="s">
        <v>24</v>
      </c>
      <c r="U1" t="s">
        <v>25</v>
      </c>
      <c r="V1" s="9" t="s">
        <v>26</v>
      </c>
      <c r="W1" t="s">
        <v>27</v>
      </c>
      <c r="X1" t="s">
        <v>28</v>
      </c>
      <c r="Y1" t="s">
        <v>29</v>
      </c>
      <c r="Z1" t="s">
        <v>30</v>
      </c>
      <c r="AA1" t="s">
        <v>31</v>
      </c>
      <c r="AB1" t="s">
        <v>32</v>
      </c>
      <c r="AC1" t="s">
        <v>33</v>
      </c>
      <c r="AD1" t="s">
        <v>34</v>
      </c>
      <c r="AE1" t="s">
        <v>35</v>
      </c>
      <c r="AF1" t="s">
        <v>36</v>
      </c>
      <c r="AG1" t="s">
        <v>37</v>
      </c>
    </row>
    <row r="2" spans="1:33" x14ac:dyDescent="0.3">
      <c r="A2" t="s">
        <v>10</v>
      </c>
      <c r="B2">
        <v>413</v>
      </c>
      <c r="C2">
        <v>428.65</v>
      </c>
      <c r="D2">
        <v>428.65</v>
      </c>
      <c r="E2" s="6" cm="1">
        <f t="array" ref="E2">_FV(K2,"Price")</f>
        <v>428.65</v>
      </c>
      <c r="F2">
        <v>428.65</v>
      </c>
      <c r="G2" t="b">
        <v>0</v>
      </c>
      <c r="H2" t="b">
        <v>0</v>
      </c>
      <c r="I2" t="b">
        <v>0</v>
      </c>
      <c r="J2" t="b">
        <v>0</v>
      </c>
      <c r="K2" t="e" vm="1">
        <v>#VALUE!</v>
      </c>
      <c r="L2" s="6" cm="1">
        <f t="array" ref="L2">_FV(MyTableStyle[[#This Row],[Stock]],"Previous close",TRUE)</f>
        <v>413</v>
      </c>
      <c r="M2" s="10" t="str">
        <f t="shared" ref="M2:M7" si="0">IF(I2, "LX", IF(J2,"SX",IF(G2, "LE", IF(H2,"SE","NA"))))</f>
        <v>NA</v>
      </c>
      <c r="N2" s="10"/>
      <c r="O2" s="11"/>
      <c r="P2" s="11"/>
      <c r="Q2" s="11"/>
      <c r="R2" s="11"/>
      <c r="S2" s="11"/>
      <c r="T2" s="11"/>
      <c r="U2" s="10" t="str">
        <f>A2</f>
        <v>TATASTEEL</v>
      </c>
      <c r="V2" s="12"/>
      <c r="W2" s="11"/>
      <c r="X2" s="11"/>
      <c r="Y2" s="11"/>
      <c r="Z2" s="11"/>
      <c r="AA2" s="11"/>
      <c r="AB2" s="11"/>
      <c r="AC2" s="11"/>
      <c r="AD2" s="11" t="str">
        <f>IF(D2 = E2, "LX","NA")</f>
        <v>LX</v>
      </c>
      <c r="AE2" s="11" t="str">
        <f>IF(D2 = E2, "SE","NA")</f>
        <v>SE</v>
      </c>
      <c r="AF2" s="11" t="str">
        <f>IF(D2 = E2, "SX","NA")</f>
        <v>SX</v>
      </c>
      <c r="AG2">
        <f>_xll.ABSignal(IF(ISBLANK(M2),IF(AD2="LX","LX",IF(AE2="SE","SE",IF(AF2="SX","SX","NA"))),M2),N2,O2,P2,Q2,R2,S2,T2,U2,V2,W2,X2,Y2,Z2,AA2,AB2,AC2,ROW())</f>
        <v>0</v>
      </c>
    </row>
    <row r="3" spans="1:33" x14ac:dyDescent="0.3">
      <c r="A3" t="s">
        <v>11</v>
      </c>
      <c r="B3">
        <v>1115.8499999999999</v>
      </c>
      <c r="C3">
        <v>1127.3</v>
      </c>
      <c r="D3">
        <v>1127.3</v>
      </c>
      <c r="E3" s="6" cm="1">
        <f t="array" ref="E3">_FV(K3,"Price")</f>
        <v>1127.3</v>
      </c>
      <c r="F3">
        <v>1127.3</v>
      </c>
      <c r="G3" t="b">
        <v>0</v>
      </c>
      <c r="H3" t="b">
        <v>0</v>
      </c>
      <c r="I3" t="b">
        <v>0</v>
      </c>
      <c r="J3" t="b">
        <v>0</v>
      </c>
      <c r="K3" t="e" vm="2">
        <v>#VALUE!</v>
      </c>
      <c r="L3" s="6" cm="1">
        <f t="array" ref="L3">_FV(MyTableStyle[[#This Row],[Stock]],"Previous close",TRUE)</f>
        <v>1115.8499999999999</v>
      </c>
      <c r="M3" s="10" t="str">
        <f t="shared" si="0"/>
        <v>NA</v>
      </c>
      <c r="N3" s="10"/>
      <c r="O3" s="11"/>
      <c r="P3" s="11"/>
      <c r="Q3" s="11"/>
      <c r="R3" s="11"/>
      <c r="S3" s="11"/>
      <c r="T3" s="11"/>
      <c r="U3" s="10" t="str">
        <f>A3</f>
        <v>HDFCBANK</v>
      </c>
      <c r="V3" s="12"/>
      <c r="W3" s="11"/>
      <c r="X3" s="11"/>
      <c r="Y3" s="11"/>
      <c r="Z3" s="11"/>
      <c r="AA3" s="11"/>
      <c r="AB3" s="11"/>
      <c r="AC3" s="11"/>
      <c r="AD3" s="11" t="str">
        <f>IF(D3 = E3, "LX","NA")</f>
        <v>LX</v>
      </c>
      <c r="AE3" s="11" t="str">
        <f>IF(D3 = E3, "SE","NA")</f>
        <v>SE</v>
      </c>
      <c r="AF3" s="11" t="str">
        <f>IF(D3 = E3, "SX","NA")</f>
        <v>SX</v>
      </c>
      <c r="AG3">
        <f>_xll.ABSignal(IF(ISBLANK(M3),IF(AD3="LX","LX",IF(AE3="SE","SE",IF(AF3="SX","SX","NA"))),M3),N3,O3,P3,Q3,R3,S3,T3,U3,V3,W3,X3,Y3,Z3,AA3,AB3,AC3,ROW())</f>
        <v>0</v>
      </c>
    </row>
    <row r="4" spans="1:33" x14ac:dyDescent="0.3">
      <c r="A4" t="s">
        <v>12</v>
      </c>
      <c r="B4">
        <v>1100.5</v>
      </c>
      <c r="C4">
        <v>1120.05</v>
      </c>
      <c r="D4">
        <v>1120.05</v>
      </c>
      <c r="E4" s="6" cm="1">
        <f t="array" ref="E4">_FV(K4,"Price")</f>
        <v>1120.05</v>
      </c>
      <c r="F4">
        <v>1120.05</v>
      </c>
      <c r="G4" t="b">
        <v>0</v>
      </c>
      <c r="H4" t="b">
        <v>0</v>
      </c>
      <c r="I4" t="b">
        <v>0</v>
      </c>
      <c r="J4" t="b">
        <v>0</v>
      </c>
      <c r="K4" t="e" vm="3">
        <v>#VALUE!</v>
      </c>
      <c r="L4" s="6" cm="1">
        <f t="array" ref="L4">_FV(MyTableStyle[[#This Row],[Stock]],"Previous close",TRUE)</f>
        <v>1100.5</v>
      </c>
      <c r="M4" s="10" t="str">
        <f t="shared" si="0"/>
        <v>NA</v>
      </c>
      <c r="N4" s="10"/>
      <c r="O4" s="11"/>
      <c r="P4" s="11"/>
      <c r="Q4" s="11"/>
      <c r="R4" s="11"/>
      <c r="S4" s="11"/>
      <c r="T4" s="11"/>
      <c r="U4" s="10" t="str">
        <f>A4</f>
        <v>TITAN</v>
      </c>
      <c r="V4" s="12"/>
      <c r="W4" s="11"/>
      <c r="X4" s="11"/>
      <c r="Y4" s="11"/>
      <c r="Z4" s="11"/>
      <c r="AA4" s="11"/>
      <c r="AB4" s="11"/>
      <c r="AC4" s="11"/>
      <c r="AD4" s="11" t="str">
        <f>IF(D4 = E4, "LX","NA")</f>
        <v>LX</v>
      </c>
      <c r="AE4" s="11" t="str">
        <f>IF(D4 = E4, "SE","NA")</f>
        <v>SE</v>
      </c>
      <c r="AF4" s="11" t="str">
        <f>IF(D4 = E4, "SX","NA")</f>
        <v>SX</v>
      </c>
      <c r="AG4">
        <f>_xll.ABSignal(IF(ISBLANK(M4),IF(AD4="LX","LX",IF(AE4="SE","SE",IF(AF4="SX","SX","NA"))),M4),N4,O4,P4,Q4,R4,S4,T4,U4,V4,W4,X4,Y4,Z4,AA4,AB4,AC4,ROW())</f>
        <v>0</v>
      </c>
    </row>
    <row r="5" spans="1:33" x14ac:dyDescent="0.3">
      <c r="A5" t="s">
        <v>13</v>
      </c>
      <c r="B5">
        <v>6839.95</v>
      </c>
      <c r="C5">
        <v>6905.65</v>
      </c>
      <c r="D5">
        <v>6905.65</v>
      </c>
      <c r="E5" s="6" cm="1">
        <f t="array" ref="E5">_FV(K5,"Price")</f>
        <v>6905.65</v>
      </c>
      <c r="F5">
        <v>6905.65</v>
      </c>
      <c r="G5" t="b">
        <v>0</v>
      </c>
      <c r="H5" t="b">
        <v>0</v>
      </c>
      <c r="I5" t="b">
        <v>0</v>
      </c>
      <c r="J5" t="b">
        <v>0</v>
      </c>
      <c r="K5" t="e" vm="4">
        <v>#VALUE!</v>
      </c>
      <c r="L5" s="6" cm="1">
        <f t="array" ref="L5">_FV(MyTableStyle[[#This Row],[Stock]],"Previous close",TRUE)</f>
        <v>6839.95</v>
      </c>
      <c r="M5" s="10" t="str">
        <f t="shared" si="0"/>
        <v>NA</v>
      </c>
      <c r="N5" s="10"/>
      <c r="O5" s="11"/>
      <c r="P5" s="11"/>
      <c r="Q5" s="11"/>
      <c r="R5" s="11"/>
      <c r="S5" s="11"/>
      <c r="T5" s="11"/>
      <c r="U5" s="10" t="str">
        <f>A5</f>
        <v>MARUTI</v>
      </c>
      <c r="V5" s="12"/>
      <c r="W5" s="11"/>
      <c r="X5" s="11"/>
      <c r="Y5" s="11"/>
      <c r="Z5" s="11"/>
      <c r="AA5" s="11"/>
      <c r="AB5" s="11"/>
      <c r="AC5" s="11"/>
      <c r="AD5" s="11" t="str">
        <f>IF(D5 = E5, "LX","NA")</f>
        <v>LX</v>
      </c>
      <c r="AE5" s="11" t="str">
        <f>IF(D5 = E5, "SE","NA")</f>
        <v>SE</v>
      </c>
      <c r="AF5" s="11" t="str">
        <f>IF(D5 = E5, "SX","NA")</f>
        <v>SX</v>
      </c>
      <c r="AG5">
        <f>_xll.ABSignal(IF(ISBLANK(M5),IF(AD5="LX","LX",IF(AE5="SE","SE",IF(AF5="SX","SX","NA"))),M5),N5,O5,P5,Q5,R5,S5,T5,U5,V5,W5,X5,Y5,Z5,AA5,AB5,AC5,ROW())</f>
        <v>0</v>
      </c>
    </row>
    <row r="6" spans="1:33" x14ac:dyDescent="0.3">
      <c r="A6" t="s">
        <v>14</v>
      </c>
      <c r="B6">
        <v>944.95</v>
      </c>
      <c r="C6">
        <v>955.2</v>
      </c>
      <c r="D6">
        <v>955.2</v>
      </c>
      <c r="E6" s="6" cm="1">
        <f t="array" ref="E6">_FV(K6,"Price")</f>
        <v>955.2</v>
      </c>
      <c r="F6">
        <v>955.2</v>
      </c>
      <c r="G6" t="b">
        <v>0</v>
      </c>
      <c r="H6" t="b">
        <v>0</v>
      </c>
      <c r="I6" t="b">
        <v>0</v>
      </c>
      <c r="J6" t="b">
        <v>0</v>
      </c>
      <c r="K6" t="e" vm="5">
        <v>#VALUE!</v>
      </c>
      <c r="L6" s="6" cm="1">
        <f t="array" ref="L6">_FV(MyTableStyle[[#This Row],[Stock]],"Previous close",TRUE)</f>
        <v>944.95</v>
      </c>
      <c r="M6" s="10" t="str">
        <f t="shared" si="0"/>
        <v>NA</v>
      </c>
      <c r="N6" s="10"/>
      <c r="O6" s="11"/>
      <c r="P6" s="11"/>
      <c r="Q6" s="11"/>
      <c r="R6" s="11"/>
      <c r="S6" s="11"/>
      <c r="T6" s="11"/>
      <c r="U6" s="10" t="str">
        <f>A6</f>
        <v>LT</v>
      </c>
      <c r="V6" s="12"/>
      <c r="W6" s="11"/>
      <c r="X6" s="11"/>
      <c r="Y6" s="11"/>
      <c r="Z6" s="11"/>
      <c r="AA6" s="11"/>
      <c r="AB6" s="11"/>
      <c r="AC6" s="11"/>
      <c r="AD6" s="11" t="str">
        <f>IF(D6 = E6, "LX","NA")</f>
        <v>LX</v>
      </c>
      <c r="AE6" s="11" t="str">
        <f>IF(D6 = E6, "SE","NA")</f>
        <v>SE</v>
      </c>
      <c r="AF6" s="11" t="str">
        <f>IF(D6 = E6, "SX","NA")</f>
        <v>SX</v>
      </c>
      <c r="AG6" t="e">
        <f>_xll.ABSignal(IF(ISBLANK(M6),IF(AD6="LX","LX",IF(AE6="SE","SE",IF(AF6="SX","SX","NA"))),M6),N6,O6,P6,Q6,R6,S6,T6,U6,V6,W6,X6,Y6,Z6,AA6,AB6,AC6,ROW())</f>
        <v>#NUM!</v>
      </c>
    </row>
    <row r="7" spans="1:33" x14ac:dyDescent="0.3">
      <c r="A7" t="s">
        <v>15</v>
      </c>
      <c r="B7">
        <v>2080.6999999999998</v>
      </c>
      <c r="C7">
        <v>2087.25</v>
      </c>
      <c r="D7">
        <v>2087.25</v>
      </c>
      <c r="E7" s="6" cm="1">
        <f t="array" ref="E7">_FV(K7,"Price")</f>
        <v>2087.25</v>
      </c>
      <c r="F7">
        <v>2087.25</v>
      </c>
      <c r="G7" t="b">
        <v>0</v>
      </c>
      <c r="H7" t="b">
        <v>0</v>
      </c>
      <c r="I7" t="b">
        <v>0</v>
      </c>
      <c r="J7" t="b">
        <v>0</v>
      </c>
      <c r="K7" t="e" vm="6">
        <v>#VALUE!</v>
      </c>
      <c r="L7" s="6" cm="1">
        <f t="array" ref="L7">_FV(MyTableStyle[[#This Row],[Stock]],"Previous close",TRUE)</f>
        <v>2080.6999999999998</v>
      </c>
      <c r="M7" s="10" t="str">
        <f t="shared" si="0"/>
        <v>NA</v>
      </c>
      <c r="N7" s="10"/>
      <c r="O7" s="11"/>
      <c r="P7" s="11"/>
      <c r="Q7" s="11"/>
      <c r="R7" s="11"/>
      <c r="S7" s="11"/>
      <c r="T7" s="11"/>
      <c r="U7" s="10" t="str">
        <f>A7</f>
        <v>RELIANCE</v>
      </c>
      <c r="V7" s="12"/>
      <c r="W7" s="11"/>
      <c r="X7" s="11"/>
      <c r="Y7" s="11"/>
      <c r="Z7" s="11"/>
      <c r="AA7" s="11"/>
      <c r="AB7" s="11"/>
      <c r="AC7" s="11"/>
      <c r="AD7" s="11" t="str">
        <f>IF(D7 = E7, "LX","NA")</f>
        <v>LX</v>
      </c>
      <c r="AE7" s="11" t="str">
        <f>IF(D7 = E7, "SE","NA")</f>
        <v>SE</v>
      </c>
      <c r="AF7" s="11" t="str">
        <f>IF(D7 = E7, "SX","NA")</f>
        <v>SX</v>
      </c>
      <c r="AG7" t="e">
        <f>_xll.ABSignal(IF(ISBLANK(M7),IF(AD7="LX","LX",IF(AE7="SE","SE",IF(AF7="SX","SX","NA"))),M7),N7,O7,P7,Q7,R7,S7,T7,U7,V7,W7,X7,Y7,Z7,AA7,AB7,AC7,ROW())</f>
        <v>#NUM!</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20276-2DA8-4A30-95BB-1F4B573D01F2}">
  <sheetPr codeName="Sheet2"/>
  <dimension ref="A1:D1"/>
  <sheetViews>
    <sheetView workbookViewId="0"/>
  </sheetViews>
  <sheetFormatPr defaultRowHeight="14.4" x14ac:dyDescent="0.3"/>
  <cols>
    <col min="4" max="4" width="8.88671875" style="9"/>
  </cols>
  <sheetData>
    <row r="1" spans="1:4" s="7" customFormat="1" x14ac:dyDescent="0.3">
      <c r="A1" s="7" t="s">
        <v>38</v>
      </c>
      <c r="B1" s="7" t="s">
        <v>39</v>
      </c>
      <c r="C1" s="7" t="s">
        <v>40</v>
      </c>
      <c r="D1" s="8" t="s">
        <v>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Stocks</vt:lpstr>
      <vt:lpstr>SignalLogs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Sougat</dc:creator>
  <cp:lastModifiedBy>Sougat</cp:lastModifiedBy>
  <dcterms:created xsi:type="dcterms:W3CDTF">2020-09-01T10:05:29Z</dcterms:created>
  <dcterms:modified xsi:type="dcterms:W3CDTF">2020-09-01T16:05:21Z</dcterms:modified>
</cp:coreProperties>
</file>