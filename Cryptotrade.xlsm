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gat\Desktop\Excel\"/>
    </mc:Choice>
  </mc:AlternateContent>
  <xr:revisionPtr revIDLastSave="0" documentId="13_ncr:1_{13BE035E-BDFB-4187-8EC8-44F3B01623D3}" xr6:coauthVersionLast="45" xr6:coauthVersionMax="45" xr10:uidLastSave="{00000000-0000-0000-0000-000000000000}"/>
  <bookViews>
    <workbookView xWindow="-6996" yWindow="2388" windowWidth="17280" windowHeight="8964" xr2:uid="{00000000-000D-0000-FFFF-FFFF00000000}"/>
  </bookViews>
  <sheets>
    <sheet name="Bitcoin" sheetId="1" r:id="rId1"/>
    <sheet name="SignalLog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" l="1"/>
  <c r="AH2" i="1"/>
  <c r="E2" i="1" l="1" a="1"/>
  <c r="E2" i="1" s="1"/>
  <c r="AG2" i="1" l="1"/>
  <c r="AF2" i="1"/>
  <c r="AE2" i="1"/>
  <c r="H2" i="1" a="1"/>
  <c r="H2" i="1" s="1"/>
  <c r="G2" i="1" a="1"/>
  <c r="G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<sst xmlns="http://schemas.openxmlformats.org/spreadsheetml/2006/main" count="45" uniqueCount="44">
  <si>
    <t>Ticker</t>
  </si>
  <si>
    <t>P.Close</t>
  </si>
  <si>
    <t>High</t>
  </si>
  <si>
    <t>Low</t>
  </si>
  <si>
    <t>LTP</t>
  </si>
  <si>
    <t>Open</t>
  </si>
  <si>
    <t>Time</t>
  </si>
  <si>
    <t>Date</t>
  </si>
  <si>
    <t>A-SigType</t>
  </si>
  <si>
    <t>A-Price</t>
  </si>
  <si>
    <t>A-QTY</t>
  </si>
  <si>
    <t>A-TrigPrice</t>
  </si>
  <si>
    <t>A-SL</t>
  </si>
  <si>
    <t>A-TGT</t>
  </si>
  <si>
    <t>A-Instrument</t>
  </si>
  <si>
    <t>A-STAG</t>
  </si>
  <si>
    <t>A-Symbol</t>
  </si>
  <si>
    <t>A-Expiry</t>
  </si>
  <si>
    <t>A-Strike</t>
  </si>
  <si>
    <t>A-OptionType</t>
  </si>
  <si>
    <t>A-OrderType</t>
  </si>
  <si>
    <t>A-ProductType</t>
  </si>
  <si>
    <t>A-Port</t>
  </si>
  <si>
    <t>A-EntryQtyMultiplier</t>
  </si>
  <si>
    <t>A-ExitQtyMultiplier</t>
  </si>
  <si>
    <t>A-LX</t>
  </si>
  <si>
    <t>A-SE</t>
  </si>
  <si>
    <t>A-SX</t>
  </si>
  <si>
    <t>A-Signals</t>
  </si>
  <si>
    <t>ID</t>
  </si>
  <si>
    <t>Signal</t>
  </si>
  <si>
    <t>Sent to APIBridge</t>
  </si>
  <si>
    <t>DateTime</t>
  </si>
  <si>
    <t>Lentry</t>
  </si>
  <si>
    <t>Sentry</t>
  </si>
  <si>
    <t>Lexit</t>
  </si>
  <si>
    <t>Sexit</t>
  </si>
  <si>
    <t/>
  </si>
  <si>
    <t>BTC/INR</t>
  </si>
  <si>
    <t>1,LX,BTC/INR,M,,0,,,,</t>
  </si>
  <si>
    <t>8/15/2020  8:52:09 PM</t>
  </si>
  <si>
    <t>8/15/2020  10:03:21 PM</t>
  </si>
  <si>
    <t>2,SE,BTC/INR,M,,0,,,,</t>
  </si>
  <si>
    <t>8/15/2020  10:29:53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</si>
</sst>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[$-F400]h\.mm\.ss\ AM/PM"/>
    <numFmt numFmtId="166" formatCode="#,##0.00_ ;\-#,##0.00\ 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EE86B"/>
        <bgColor indexed="64"/>
      </patternFill>
    </fill>
    <fill>
      <patternFill patternType="solid">
        <fgColor rgb="FFFFF8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3" borderId="0" xfId="0" applyNumberFormat="1" applyFill="1"/>
    <xf numFmtId="166" fontId="0" fillId="0" borderId="0" xfId="0" applyNumberFormat="1"/>
    <xf numFmtId="49" fontId="0" fillId="2" borderId="0" xfId="0" applyNumberFormat="1" applyFill="1"/>
  </cellXfs>
  <cellStyles count="1">
    <cellStyle name="Normal" xfId="0" builtinId="0"/>
  </cellStyles>
  <dxfs count="28"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numFmt numFmtId="30" formatCode="@"/>
      <fill>
        <patternFill patternType="solid">
          <fgColor indexed="64"/>
          <bgColor rgb="FFFFF8DC"/>
        </patternFill>
      </fill>
    </dxf>
    <dxf>
      <numFmt numFmtId="30" formatCode="@"/>
      <fill>
        <patternFill patternType="solid">
          <fgColor indexed="64"/>
          <bgColor rgb="FFEEE86B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FFF8DC"/>
        </patternFill>
      </fill>
    </dxf>
    <dxf>
      <fill>
        <patternFill patternType="solid">
          <fgColor indexed="64"/>
          <bgColor rgb="FFEEE86B"/>
        </patternFill>
      </fill>
    </dxf>
    <dxf>
      <fill>
        <patternFill patternType="solid">
          <fgColor indexed="64"/>
          <bgColor rgb="FFEEE86B"/>
        </patternFill>
      </fill>
    </dxf>
    <dxf>
      <fill>
        <patternFill patternType="solid">
          <fgColor indexed="64"/>
          <bgColor rgb="FFFFF8DC"/>
        </patternFill>
      </fill>
    </dxf>
    <dxf>
      <numFmt numFmtId="19" formatCode="dd/mm/yyyy"/>
    </dxf>
    <dxf>
      <numFmt numFmtId="165" formatCode="[$-F400]h\.mm\.ss\ AM/P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6" formatCode="#,##0.00_ ;\-#,##0.00\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</keyFlags>
    </type>
  </types>
</rvTypesInfo>
</file>

<file path=xl/richData/rdrichvalue.xml><?xml version="1.0" encoding="utf-8"?>
<rvData xmlns="http://schemas.microsoft.com/office/spreadsheetml/2017/richdata" count="2">
  <rv s="0">
    <v>en-US</v>
    <v>bo8n52</v>
    <v>268435456</v>
    <v>268435462</v>
    <v>1</v>
    <v>Powered by Refinitiv</v>
    <v>0</v>
    <v>BTC/INR</v>
    <v>2</v>
    <v>3</v>
    <v>Finance</v>
    <v>4</v>
    <v>907480</v>
    <v>287057</v>
    <v>6938</v>
    <v>7.8739999999999991E-3</v>
    <v>INR</v>
    <v>BTC</v>
    <v>898039</v>
    <v>Currency Pair</v>
    <v>44058.707488425927</v>
    <v>875502</v>
    <v>Bitcoin/Indian Rupee FX Cross Rate</v>
    <v>881211</v>
    <v>881142</v>
    <v>888080</v>
    <v>BTCINR</v>
    <v>BTC/INR</v>
  </rv>
  <rv s="1">
    <v>0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EntitySubDomain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8">
      <v t="s">%EntityServiceId</v>
      <v t="s">_Format</v>
      <v t="s">%EntitySubDomainId</v>
      <v t="s">%EntityCulture</v>
      <v t="s">%IsRefreshable</v>
      <v t="s">%EntityId</v>
      <v t="s">_Icon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  <v t="s">_Display</v>
    </a>
  </spbArrays>
  <spbData count="5">
    <spb s="0">
      <v>0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  <v>6</v>
      <v>6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</s>
  <s>
    <k n="ShowInCardView" t="b"/>
    <k n="ShowInDotNotation" t="b"/>
    <k n="ShowInAutoComplete" t="b"/>
  </s>
  <s>
    <k n="UniqueName" t="spb"/>
    <k n="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_DisplayString" t="i"/>
    <k n="Last trade time" t="i"/>
    <k n="%EntityServiceId" t="i"/>
    <k n="%EntitySubDomain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164" formatCode="_ [$₹-4009]\ * #,##0.00_ ;_ [$₹-4009]\ * \-#,##0.00_ ;_ [$₹-4009]\ * &quot;-&quot;??_ ;_ @_ "/>
    </x:dxf>
    <x:dxf>
      <x:numFmt numFmtId="14" formatCode="0.00%"/>
    </x:dxf>
    <x:dxf>
      <x:numFmt numFmtId="27" formatCode="dd/mm/yyyy\ h:mm"/>
    </x:dxf>
    <x:dxf>
      <x:numFmt numFmtId="2" formatCode="0.00"/>
    </x:dxf>
  </dxfs>
  <richProperties>
    <rPr n="IsTitleField" t="b"/>
    <rPr n="ShouldShowInCell" t="b"/>
  </richProperties>
  <richStyles>
    <rSty dxfid="0"/>
    <rSty>
      <rpv i="0">1</rpv>
    </rSty>
    <rSty dxfid="1"/>
    <rSty>
      <rpv i="1">1</rpv>
    </rSty>
    <rSty dxfid="2"/>
    <rSty dxfid="3"/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2C3E09-3642-4A90-A73F-A4F5A4EDADFD}" name="MyTableStyle" displayName="MyTableStyle" ref="A1:L2" totalsRowShown="0">
  <autoFilter ref="A1:L2" xr:uid="{296D0E37-4C0A-4CD0-BEB7-F5EFD305CF54}"/>
  <tableColumns count="12">
    <tableColumn id="1" xr3:uid="{A0014346-4DC4-4873-B01F-89694B3FC770}" name="Ticker"/>
    <tableColumn id="2" xr3:uid="{49801E86-0174-451F-A3D9-6B9C8E739196}" name="P.Close" dataDxfId="27"/>
    <tableColumn id="3" xr3:uid="{D756B9E8-759C-4071-911D-640C31EFEC81}" name="High" dataDxfId="26"/>
    <tableColumn id="4" xr3:uid="{46DE9F5B-D1B2-487B-B0C0-01A7039EAE5D}" name="Low" dataDxfId="25"/>
    <tableColumn id="5" xr3:uid="{D2AAD290-E06A-4F4F-A681-A50FA74C81A1}" name="LTP" dataDxfId="24">
      <calculatedColumnFormula array="1">_FV(A2,"Price")</calculatedColumnFormula>
    </tableColumn>
    <tableColumn id="6" xr3:uid="{095BDDFA-F537-4E9C-92A5-433A5B135A9A}" name="Open" dataDxfId="23"/>
    <tableColumn id="7" xr3:uid="{4A3E178D-B76B-4902-917A-22AF7F0791CD}" name="Time" dataDxfId="22">
      <calculatedColumnFormula array="1">_FV(A2,"Last trade time",TRUE) + TIME(5,30,0)</calculatedColumnFormula>
    </tableColumn>
    <tableColumn id="8" xr3:uid="{687ED1FC-2D8F-46F8-BC1F-6C33EEDD3E92}" name="Date" dataDxfId="21">
      <calculatedColumnFormula array="1">_FV(A2,"Last trade time",TRUE) + TIME(5,30,0)</calculatedColumnFormula>
    </tableColumn>
    <tableColumn id="9" xr3:uid="{45103DCA-C26D-4BC2-90AD-090FD86F50A5}" name="Lentry"/>
    <tableColumn id="10" xr3:uid="{8EB28C9E-F638-4F02-9DF6-52D0947CCB6A}" name="Sentry"/>
    <tableColumn id="11" xr3:uid="{18DA5AC2-7C1B-476E-B179-1ED58284D0D6}" name="Lexit"/>
    <tableColumn id="12" xr3:uid="{7CACFAD3-8908-44DF-B2FA-CC2CD9D85E31}" name="Sexit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4424A7-66A1-46A9-A5FC-716BA724DD22}" name="MyTableStyle1" displayName="MyTableStyle1" ref="N1:AH2" totalsRowShown="0" dataDxfId="20">
  <autoFilter ref="N1:AH2" xr:uid="{AD6C91B6-AC4F-409F-A095-0AA4CD454C12}"/>
  <tableColumns count="21">
    <tableColumn id="1" xr3:uid="{AE6F2EE7-6405-4AA8-9A5E-2A210ADD4257}" name="A-SigType" dataDxfId="19">
      <calculatedColumnFormula>IF(K2, "LX", IF(L2,"SX",IF(I2, "LE", IF(J2,"SE","NA"))))</calculatedColumnFormula>
    </tableColumn>
    <tableColumn id="2" xr3:uid="{9C5E1D33-B34C-44E9-9E4D-FF7F276187F8}" name="A-Price" dataDxfId="18"/>
    <tableColumn id="3" xr3:uid="{1CDCEB25-7142-43BC-B5EC-7E97163D7775}" name="A-QTY" dataDxfId="17"/>
    <tableColumn id="4" xr3:uid="{58D4E222-85EE-46E2-B45F-EF5A7A1F8689}" name="A-TrigPrice" dataDxfId="16"/>
    <tableColumn id="5" xr3:uid="{624F5BCD-3992-4527-A614-FA212ED977C9}" name="A-SL" dataDxfId="15"/>
    <tableColumn id="6" xr3:uid="{380E5E4E-330E-4AA3-9A07-EA26C5098007}" name="A-TGT" dataDxfId="14"/>
    <tableColumn id="7" xr3:uid="{252096C6-25C4-4666-B09C-A4845D0EC10C}" name="A-Instrument" dataDxfId="13"/>
    <tableColumn id="8" xr3:uid="{B857C5D4-730D-4585-9348-479252950ACE}" name="A-STAG" dataDxfId="12"/>
    <tableColumn id="9" xr3:uid="{75CBD1DB-14E3-4588-8F05-6E642637F6E3}" name="A-Symbol" dataDxfId="11"/>
    <tableColumn id="10" xr3:uid="{13DE4073-3588-4B09-BEEA-C151C4FA71D9}" name="A-Expiry" dataDxfId="10"/>
    <tableColumn id="11" xr3:uid="{6484EB2E-2DB6-4291-9689-25C2D3D8DBC4}" name="A-Strike" dataDxfId="9"/>
    <tableColumn id="12" xr3:uid="{CF8F5A58-927D-4B67-AEEE-B42C0A77B117}" name="A-OptionType" dataDxfId="8"/>
    <tableColumn id="13" xr3:uid="{2002B4CE-D767-4ED1-9F55-0E62203F15E6}" name="A-OrderType" dataDxfId="7"/>
    <tableColumn id="14" xr3:uid="{B28C6599-1F52-44C8-AF38-CC69C719A83C}" name="A-ProductType" dataDxfId="6"/>
    <tableColumn id="15" xr3:uid="{E2A8CD83-1622-4E93-895C-0FDED5C2AD46}" name="A-Port" dataDxfId="5"/>
    <tableColumn id="16" xr3:uid="{BA10ED2B-FF81-40B4-BAE1-D26D8080E146}" name="A-EntryQtyMultiplier" dataDxfId="4"/>
    <tableColumn id="17" xr3:uid="{709AAF25-5431-425E-8FFC-E83D5C8FEFF9}" name="A-ExitQtyMultiplier" dataDxfId="3"/>
    <tableColumn id="18" xr3:uid="{93284ED6-C724-4B24-BA68-03566C5C5A7E}" name="A-LX" dataDxfId="2">
      <calculatedColumnFormula>IF(D2 = E2, "LX","NA")</calculatedColumnFormula>
    </tableColumn>
    <tableColumn id="19" xr3:uid="{6AEFE28D-F5FF-4436-BD21-AD8535ADD7F6}" name="A-SE" dataDxfId="1">
      <calculatedColumnFormula>IF(D2 = E2, "SE","NA")</calculatedColumnFormula>
    </tableColumn>
    <tableColumn id="20" xr3:uid="{3A2FDB7E-6C5F-401B-8967-FB29FA0815D1}" name="A-SX" dataDxfId="0">
      <calculatedColumnFormula>IF(D2 = E2, "SX","NA")</calculatedColumnFormula>
    </tableColumn>
    <tableColumn id="21" xr3:uid="{90F24ECB-4FC4-4A73-BF96-F88061B963EC}" name="A-Signals">
      <calculatedColumnFormula>_xll.ABSignal(IF(ISBLANK(N2),IF(AE2="LX","LX",IF(AF2="SE","SE",IF(AG2="SX","SX","NA"))),N2),O2,P2,Q2,R2,S2,T2,U2,V2,W2,X2,Y2,Z2,AA2,AB2,AC2,AD2,ROW())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"/>
  <sheetViews>
    <sheetView tabSelected="1" workbookViewId="0">
      <selection activeCell="V18" sqref="V18"/>
    </sheetView>
  </sheetViews>
  <sheetFormatPr defaultRowHeight="14.4" x14ac:dyDescent="0.3"/>
  <cols>
    <col min="1" max="1" width="13.77734375" customWidth="1"/>
    <col min="2" max="2" width="10.77734375" customWidth="1"/>
    <col min="3" max="3" width="12.109375" customWidth="1"/>
    <col min="4" max="4" width="11.44140625" customWidth="1"/>
    <col min="5" max="5" width="12.21875" customWidth="1"/>
    <col min="6" max="6" width="13.109375" customWidth="1"/>
    <col min="7" max="7" width="12" customWidth="1"/>
    <col min="8" max="8" width="14.44140625" customWidth="1"/>
    <col min="14" max="14" width="11.33203125" customWidth="1"/>
    <col min="15" max="16" width="0" hidden="1" customWidth="1"/>
    <col min="17" max="17" width="12" hidden="1" customWidth="1"/>
    <col min="18" max="19" width="0" hidden="1" customWidth="1"/>
    <col min="20" max="20" width="14.109375" hidden="1" customWidth="1"/>
    <col min="21" max="21" width="9.21875" hidden="1" customWidth="1"/>
    <col min="22" max="22" width="11.109375" customWidth="1"/>
    <col min="23" max="23" width="9.88671875" style="6" hidden="1" customWidth="1"/>
    <col min="24" max="24" width="9.5546875" hidden="1" customWidth="1"/>
    <col min="25" max="25" width="14.6640625" hidden="1" customWidth="1"/>
    <col min="26" max="26" width="13.6640625" hidden="1" customWidth="1"/>
    <col min="27" max="27" width="15.5546875" hidden="1" customWidth="1"/>
    <col min="28" max="28" width="0" hidden="1" customWidth="1"/>
    <col min="29" max="29" width="20.33203125" hidden="1" customWidth="1"/>
    <col min="30" max="30" width="18.88671875" hidden="1" customWidth="1"/>
    <col min="31" max="33" width="0" hidden="1" customWidth="1"/>
    <col min="34" max="34" width="10.5546875" hidden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33</v>
      </c>
      <c r="J1" t="s">
        <v>34</v>
      </c>
      <c r="K1" t="s">
        <v>35</v>
      </c>
      <c r="L1" t="s">
        <v>36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s="6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</row>
    <row r="2" spans="1:34" x14ac:dyDescent="0.3">
      <c r="A2" t="e" vm="1">
        <v>#VALUE!</v>
      </c>
      <c r="B2" s="10">
        <v>0</v>
      </c>
      <c r="C2" s="1">
        <v>888615</v>
      </c>
      <c r="D2" s="1">
        <v>888080</v>
      </c>
      <c r="E2" s="1" cm="1">
        <f t="array" ref="E2">_FV(A2,"Price")</f>
        <v>888080</v>
      </c>
      <c r="F2" s="1">
        <v>888615</v>
      </c>
      <c r="G2" s="2" cm="1">
        <f t="array" ref="G2">_FV(A2,"Last trade time",TRUE) + TIME(5,30,0)</f>
        <v>44058.936655092592</v>
      </c>
      <c r="H2" s="3" cm="1">
        <f t="array" ref="H2">_FV(A2,"Last trade time",TRUE) + TIME(5,30,0)</f>
        <v>44058.936655092592</v>
      </c>
      <c r="I2" t="b">
        <v>0</v>
      </c>
      <c r="J2" t="b">
        <v>1</v>
      </c>
      <c r="K2" t="b">
        <v>0</v>
      </c>
      <c r="L2" t="b">
        <v>0</v>
      </c>
      <c r="N2" s="7" t="str">
        <f>IF(K2, "LX", IF(L2,"SX",IF(I2, "LE", IF(J2,"SE","NA"))))</f>
        <v>SE</v>
      </c>
      <c r="O2" s="7"/>
      <c r="P2" s="8"/>
      <c r="Q2" s="8"/>
      <c r="R2" s="8"/>
      <c r="S2" s="8"/>
      <c r="T2" s="8"/>
      <c r="U2" s="8"/>
      <c r="V2" s="11" t="s">
        <v>38</v>
      </c>
      <c r="W2" s="9" t="s">
        <v>37</v>
      </c>
      <c r="X2" s="8"/>
      <c r="Y2" s="8"/>
      <c r="Z2" s="8"/>
      <c r="AA2" s="8"/>
      <c r="AB2" s="8"/>
      <c r="AC2" s="8"/>
      <c r="AD2" s="8"/>
      <c r="AE2" s="8" t="str">
        <f>IF(D2 = E2, "LX","NA")</f>
        <v>LX</v>
      </c>
      <c r="AF2" s="8" t="str">
        <f>IF(D2 = E2, "SE","NA")</f>
        <v>SE</v>
      </c>
      <c r="AG2" s="8" t="str">
        <f>IF(D2 = E2, "SX","NA")</f>
        <v>SX</v>
      </c>
      <c r="AH2" t="e">
        <f>_xll.ABSignal(IF(ISBLANK(N2),IF(AE2="LX","LX",IF(AF2="SE","SE",IF(AG2="SX","SX","NA"))),N2),O2,P2,Q2,R2,S2,T2,U2,V2,W2,X2,Y2,Z2,AA2,AB2,AC2,AD2,ROW())</f>
        <v>#NUM!</v>
      </c>
    </row>
  </sheetData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AC386-E92F-40C4-A458-4CEAB2279F26}">
  <sheetPr codeName="Sheet2"/>
  <dimension ref="A1:D4"/>
  <sheetViews>
    <sheetView workbookViewId="0"/>
  </sheetViews>
  <sheetFormatPr defaultRowHeight="14.4" x14ac:dyDescent="0.3"/>
  <cols>
    <col min="4" max="4" width="8.88671875" style="6"/>
  </cols>
  <sheetData>
    <row r="1" spans="1:4" s="4" customFormat="1" x14ac:dyDescent="0.3">
      <c r="A1" s="4" t="s">
        <v>29</v>
      </c>
      <c r="B1" s="4" t="s">
        <v>30</v>
      </c>
      <c r="C1" s="4" t="s">
        <v>31</v>
      </c>
      <c r="D1" s="5" t="s">
        <v>32</v>
      </c>
    </row>
    <row r="2" spans="1:4" x14ac:dyDescent="0.3">
      <c r="A2">
        <v>1</v>
      </c>
      <c r="B2" t="s">
        <v>39</v>
      </c>
      <c r="C2" t="b">
        <v>1</v>
      </c>
      <c r="D2" s="6" t="s">
        <v>40</v>
      </c>
    </row>
    <row r="3" spans="1:4" x14ac:dyDescent="0.3">
      <c r="A3">
        <v>1</v>
      </c>
      <c r="B3" t="s">
        <v>39</v>
      </c>
      <c r="C3" t="b">
        <v>0</v>
      </c>
      <c r="D3" s="6" t="s">
        <v>41</v>
      </c>
    </row>
    <row r="4" spans="1:4" x14ac:dyDescent="0.3">
      <c r="A4">
        <v>2</v>
      </c>
      <c r="B4" t="s">
        <v>42</v>
      </c>
      <c r="C4" t="b">
        <v>0</v>
      </c>
      <c r="D4" s="6" t="s">
        <v>43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Bitcoin</vt:lpstr>
      <vt:lpstr>SignalLogs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Sougat</dc:creator>
  <cp:lastModifiedBy>Sougat</cp:lastModifiedBy>
  <dcterms:created xsi:type="dcterms:W3CDTF">2015-06-05T18:17:20Z</dcterms:created>
  <dcterms:modified xsi:type="dcterms:W3CDTF">2020-08-15T18:45:20Z</dcterms:modified>
</cp:coreProperties>
</file>